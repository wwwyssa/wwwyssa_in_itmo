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wwyssa_in_itmo\teorver\"/>
    </mc:Choice>
  </mc:AlternateContent>
  <xr:revisionPtr revIDLastSave="0" documentId="13_ncr:1_{C6A092B4-5349-4C4E-BF52-FA4571901B44}" xr6:coauthVersionLast="47" xr6:coauthVersionMax="47" xr10:uidLastSave="{00000000-0000-0000-0000-000000000000}"/>
  <bookViews>
    <workbookView xWindow="-108" yWindow="-108" windowWidth="23256" windowHeight="12576" xr2:uid="{9B62F096-D6B4-4271-950B-C1354B1DC2D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" i="1" l="1"/>
  <c r="K20" i="1" s="1"/>
  <c r="J22" i="1"/>
  <c r="D20" i="1"/>
  <c r="I8" i="1"/>
  <c r="H8" i="1"/>
  <c r="G8" i="1"/>
  <c r="H18" i="1" s="1"/>
  <c r="F8" i="1"/>
  <c r="G18" i="1" s="1"/>
  <c r="E8" i="1"/>
  <c r="F18" i="1" s="1"/>
  <c r="F21" i="1" s="1"/>
  <c r="D8" i="1"/>
  <c r="E18" i="1" s="1"/>
  <c r="C8" i="1"/>
  <c r="D18" i="1" s="1"/>
  <c r="B8" i="1"/>
  <c r="C18" i="1" s="1"/>
  <c r="J7" i="1"/>
  <c r="K17" i="1" s="1"/>
  <c r="J6" i="1"/>
  <c r="K16" i="1" s="1"/>
  <c r="J5" i="1"/>
  <c r="K15" i="1" s="1"/>
  <c r="J4" i="1"/>
  <c r="J3" i="1"/>
  <c r="J2" i="1"/>
  <c r="J8" i="1" s="1"/>
  <c r="AJ8" i="1"/>
  <c r="AI8" i="1"/>
  <c r="AH8" i="1"/>
  <c r="AG8" i="1"/>
  <c r="AF8" i="1"/>
  <c r="AE8" i="1"/>
  <c r="AD8" i="1"/>
  <c r="AC8" i="1"/>
  <c r="AK7" i="1"/>
  <c r="AK6" i="1"/>
  <c r="AK5" i="1"/>
  <c r="AK4" i="1"/>
  <c r="AK3" i="1"/>
  <c r="AK2" i="1"/>
  <c r="AK8" i="1" s="1"/>
  <c r="J18" i="1"/>
  <c r="I18" i="1"/>
  <c r="K14" i="1"/>
  <c r="X8" i="1"/>
  <c r="W8" i="1"/>
  <c r="V8" i="1"/>
  <c r="U8" i="1"/>
  <c r="T8" i="1"/>
  <c r="S8" i="1"/>
  <c r="R8" i="1"/>
  <c r="Q8" i="1"/>
  <c r="Y7" i="1"/>
  <c r="Y6" i="1"/>
  <c r="Y5" i="1"/>
  <c r="Y4" i="1"/>
  <c r="Y3" i="1"/>
  <c r="Y2" i="1"/>
  <c r="Y8" i="1" s="1"/>
  <c r="B13" i="1"/>
  <c r="C13" i="1"/>
  <c r="D13" i="1"/>
  <c r="E13" i="1"/>
  <c r="F13" i="1"/>
  <c r="G13" i="1"/>
  <c r="H13" i="1"/>
  <c r="I13" i="1"/>
  <c r="J13" i="1"/>
  <c r="B14" i="1"/>
  <c r="C14" i="1"/>
  <c r="D14" i="1"/>
  <c r="E14" i="1"/>
  <c r="F14" i="1"/>
  <c r="G14" i="1"/>
  <c r="H14" i="1"/>
  <c r="I14" i="1"/>
  <c r="J14" i="1"/>
  <c r="B15" i="1"/>
  <c r="C15" i="1"/>
  <c r="D15" i="1"/>
  <c r="E15" i="1"/>
  <c r="F15" i="1"/>
  <c r="G15" i="1"/>
  <c r="H15" i="1"/>
  <c r="I15" i="1"/>
  <c r="J15" i="1"/>
  <c r="B16" i="1"/>
  <c r="C16" i="1"/>
  <c r="D16" i="1"/>
  <c r="E16" i="1"/>
  <c r="F16" i="1"/>
  <c r="G16" i="1"/>
  <c r="H16" i="1"/>
  <c r="I16" i="1"/>
  <c r="J16" i="1"/>
  <c r="B17" i="1"/>
  <c r="C17" i="1"/>
  <c r="D17" i="1"/>
  <c r="E17" i="1"/>
  <c r="F17" i="1"/>
  <c r="G17" i="1"/>
  <c r="H17" i="1"/>
  <c r="I17" i="1"/>
  <c r="J17" i="1"/>
  <c r="C12" i="1"/>
  <c r="D12" i="1"/>
  <c r="E12" i="1"/>
  <c r="F12" i="1"/>
  <c r="G12" i="1"/>
  <c r="H12" i="1"/>
  <c r="I12" i="1"/>
  <c r="J12" i="1"/>
  <c r="B12" i="1"/>
  <c r="D11" i="1"/>
  <c r="E11" i="1"/>
  <c r="F11" i="1"/>
  <c r="G11" i="1"/>
  <c r="H11" i="1"/>
  <c r="I11" i="1"/>
  <c r="J11" i="1"/>
  <c r="C11" i="1"/>
  <c r="B11" i="1"/>
  <c r="K13" i="1"/>
  <c r="D21" i="1" l="1"/>
  <c r="C22" i="1"/>
  <c r="K22" i="1" s="1"/>
  <c r="N16" i="1"/>
  <c r="J20" i="1"/>
  <c r="N15" i="1"/>
  <c r="I20" i="1"/>
  <c r="I22" i="1" s="1"/>
  <c r="H20" i="1"/>
  <c r="H22" i="1" s="1"/>
  <c r="G20" i="1"/>
  <c r="G22" i="1" s="1"/>
  <c r="N14" i="1"/>
  <c r="F20" i="1"/>
  <c r="E20" i="1"/>
  <c r="E22" i="1" s="1"/>
  <c r="D22" i="1"/>
  <c r="L13" i="1"/>
  <c r="G21" i="1"/>
  <c r="K18" i="1"/>
  <c r="E21" i="1"/>
  <c r="H21" i="1"/>
  <c r="C21" i="1"/>
  <c r="J21" i="1"/>
  <c r="I21" i="1"/>
  <c r="M12" i="1"/>
  <c r="O12" i="1" s="1"/>
  <c r="K12" i="1"/>
  <c r="N12" i="1" s="1"/>
  <c r="N17" i="1"/>
  <c r="N13" i="1"/>
  <c r="L17" i="1"/>
  <c r="L16" i="1"/>
  <c r="J19" i="1"/>
  <c r="L15" i="1"/>
  <c r="I19" i="1"/>
  <c r="H19" i="1"/>
  <c r="L14" i="1"/>
  <c r="G19" i="1"/>
  <c r="F19" i="1"/>
  <c r="E19" i="1"/>
  <c r="D19" i="1"/>
  <c r="M17" i="1"/>
  <c r="O17" i="1" s="1"/>
  <c r="M13" i="1"/>
  <c r="O13" i="1" s="1"/>
  <c r="M15" i="1"/>
  <c r="O15" i="1" s="1"/>
  <c r="M14" i="1"/>
  <c r="O14" i="1" s="1"/>
  <c r="M16" i="1"/>
  <c r="O16" i="1" s="1"/>
  <c r="C19" i="1"/>
  <c r="B27" i="1" l="1"/>
  <c r="F22" i="1"/>
  <c r="L12" i="1"/>
  <c r="O18" i="1"/>
  <c r="J26" i="1" s="1"/>
  <c r="K21" i="1"/>
  <c r="F27" i="1" s="1"/>
  <c r="F29" i="1" s="1"/>
  <c r="K19" i="1"/>
  <c r="N18" i="1"/>
  <c r="L18" i="1"/>
  <c r="M18" i="1"/>
  <c r="B28" i="1" s="1"/>
  <c r="F26" i="1" l="1"/>
  <c r="F28" i="1" s="1"/>
  <c r="M26" i="1" s="1"/>
</calcChain>
</file>

<file path=xl/sharedStrings.xml><?xml version="1.0" encoding="utf-8"?>
<sst xmlns="http://schemas.openxmlformats.org/spreadsheetml/2006/main" count="39" uniqueCount="18">
  <si>
    <r>
      <t>m</t>
    </r>
    <r>
      <rPr>
        <sz val="8"/>
        <color theme="1"/>
        <rFont val="Aptos Narrow"/>
        <family val="2"/>
        <scheme val="minor"/>
      </rPr>
      <t>x</t>
    </r>
  </si>
  <si>
    <r>
      <t>m</t>
    </r>
    <r>
      <rPr>
        <sz val="8"/>
        <color theme="1"/>
        <rFont val="Aptos Narrow"/>
        <family val="2"/>
        <scheme val="minor"/>
      </rPr>
      <t>y</t>
    </r>
  </si>
  <si>
    <t>X\Y</t>
  </si>
  <si>
    <t>i</t>
  </si>
  <si>
    <t>j</t>
  </si>
  <si>
    <r>
      <t>m</t>
    </r>
    <r>
      <rPr>
        <sz val="8"/>
        <color theme="1"/>
        <rFont val="Aptos Narrow"/>
        <family val="2"/>
        <scheme val="minor"/>
      </rPr>
      <t>y</t>
    </r>
    <r>
      <rPr>
        <sz val="6"/>
        <color theme="1"/>
        <rFont val="Aptos Narrow"/>
        <family val="2"/>
        <scheme val="minor"/>
      </rPr>
      <t>j</t>
    </r>
  </si>
  <si>
    <t>-</t>
  </si>
  <si>
    <t>Выборочные средние:</t>
  </si>
  <si>
    <t>X=</t>
  </si>
  <si>
    <t>Y=</t>
  </si>
  <si>
    <t>Выборочные дисперсии</t>
  </si>
  <si>
    <t>S_x^2=</t>
  </si>
  <si>
    <t>S_y^2=</t>
  </si>
  <si>
    <t xml:space="preserve">Корреляционный момент </t>
  </si>
  <si>
    <t>S_x_y=</t>
  </si>
  <si>
    <t>S_x=</t>
  </si>
  <si>
    <t>S_y=</t>
  </si>
  <si>
    <t>r_x_y=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</si>
</sst>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601980</xdr:colOff>
      <xdr:row>9</xdr:row>
      <xdr:rowOff>179070</xdr:rowOff>
    </xdr:from>
    <xdr:ext cx="596125" cy="4985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F651BE1C-CE14-80CE-5187-EDF4A3429187}"/>
                </a:ext>
              </a:extLst>
            </xdr:cNvPr>
            <xdr:cNvSpPr txBox="1"/>
          </xdr:nvSpPr>
          <xdr:spPr>
            <a:xfrm>
              <a:off x="7307580" y="1824990"/>
              <a:ext cx="596125" cy="4985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nary>
                      <m:naryPr>
                        <m:chr m:val="∑"/>
                        <m:limLoc m:val="undOvr"/>
                        <m:grow m:val="on"/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a:rPr lang="ru-RU" sz="1100" i="1">
                            <a:latin typeface="Cambria Math" panose="02040503050406030204" pitchFamily="18" charset="0"/>
                          </a:rPr>
                          <m:t>𝑗</m:t>
                        </m:r>
                        <m:r>
                          <a:rPr lang="ru-RU" sz="1100" i="0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  <m:sup>
                        <m:r>
                          <a:rPr lang="ru-RU" sz="1100" i="1">
                            <a:latin typeface="Cambria Math" panose="02040503050406030204" pitchFamily="18" charset="0"/>
                          </a:rPr>
                          <m:t>𝑘</m:t>
                        </m:r>
                      </m:sup>
                      <m:e>
                        <m:sSub>
                          <m:sSubPr>
                            <m:ctrlPr>
                              <a:rPr lang="ru-R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ru-RU" sz="110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</m:e>
                          <m:sub>
                            <m:sSub>
                              <m:sSubPr>
                                <m:ctrlPr>
                                  <a:rPr lang="ru-RU" sz="110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ru-RU" sz="1100" i="1">
                                    <a:latin typeface="Cambria Math" panose="02040503050406030204" pitchFamily="18" charset="0"/>
                                  </a:rPr>
                                  <m:t>𝑦</m:t>
                                </m:r>
                              </m:e>
                              <m:sub>
                                <m:r>
                                  <a:rPr lang="ru-RU" sz="1100" i="1">
                                    <a:latin typeface="Cambria Math" panose="02040503050406030204" pitchFamily="18" charset="0"/>
                                  </a:rPr>
                                  <m:t>𝑗</m:t>
                                </m:r>
                              </m:sub>
                            </m:sSub>
                          </m:sub>
                        </m:sSub>
                        <m:sSub>
                          <m:sSubPr>
                            <m:ctrlPr>
                              <a:rPr lang="ru-R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ru-RU" sz="1100" i="1">
                                <a:latin typeface="Cambria Math" panose="02040503050406030204" pitchFamily="18" charset="0"/>
                              </a:rPr>
                              <m:t>𝑦</m:t>
                            </m:r>
                          </m:e>
                          <m:sub>
                            <m:r>
                              <a:rPr lang="ru-RU" sz="1100" i="1">
                                <a:latin typeface="Cambria Math" panose="02040503050406030204" pitchFamily="18" charset="0"/>
                              </a:rPr>
                              <m:t>𝑗</m:t>
                            </m:r>
                          </m:sub>
                        </m:sSub>
                      </m:e>
                    </m:nary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F651BE1C-CE14-80CE-5187-EDF4A3429187}"/>
                </a:ext>
              </a:extLst>
            </xdr:cNvPr>
            <xdr:cNvSpPr txBox="1"/>
          </xdr:nvSpPr>
          <xdr:spPr>
            <a:xfrm>
              <a:off x="7307580" y="1824990"/>
              <a:ext cx="596125" cy="4985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ru-RU" sz="1100" i="0">
                  <a:latin typeface="Cambria Math" panose="02040503050406030204" pitchFamily="18" charset="0"/>
                </a:rPr>
                <a:t>∑129_(𝑗=1)^𝑘▒〖𝑚_(𝑦_𝑗 ) 𝑦_𝑗 〗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13</xdr:col>
      <xdr:colOff>15240</xdr:colOff>
      <xdr:row>10</xdr:row>
      <xdr:rowOff>140970</xdr:rowOff>
    </xdr:from>
    <xdr:ext cx="594360" cy="19492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0A0FF5A6-DEC8-BFF2-FD8A-753FD4D7DB6A}"/>
                </a:ext>
              </a:extLst>
            </xdr:cNvPr>
            <xdr:cNvSpPr txBox="1"/>
          </xdr:nvSpPr>
          <xdr:spPr>
            <a:xfrm>
              <a:off x="7940040" y="1969770"/>
              <a:ext cx="594360" cy="19492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ru-RU" sz="110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ru-RU" sz="110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  <m:sup>
                        <m:r>
                          <a:rPr lang="ru-RU" sz="1100" i="0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  <m:sSub>
                      <m:sSub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ru-RU" sz="1100" i="1">
                            <a:latin typeface="Cambria Math" panose="02040503050406030204" pitchFamily="18" charset="0"/>
                          </a:rPr>
                          <m:t>𝑚</m:t>
                        </m:r>
                      </m:e>
                      <m:sub>
                        <m:sSub>
                          <m:sSubPr>
                            <m:ctrlPr>
                              <a:rPr lang="ru-R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ru-RU" sz="110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</m:e>
                          <m:sub>
                            <m:r>
                              <a:rPr lang="ru-RU" sz="110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</m:sub>
                    </m:sSub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0A0FF5A6-DEC8-BFF2-FD8A-753FD4D7DB6A}"/>
                </a:ext>
              </a:extLst>
            </xdr:cNvPr>
            <xdr:cNvSpPr txBox="1"/>
          </xdr:nvSpPr>
          <xdr:spPr>
            <a:xfrm>
              <a:off x="7940040" y="1969770"/>
              <a:ext cx="594360" cy="19492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ru-RU" sz="1100" i="0">
                  <a:latin typeface="Cambria Math" panose="02040503050406030204" pitchFamily="18" charset="0"/>
                </a:rPr>
                <a:t>𝑥_𝑖^2 𝑚_(𝑥_𝑖 )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14</xdr:col>
      <xdr:colOff>38100</xdr:colOff>
      <xdr:row>10</xdr:row>
      <xdr:rowOff>11430</xdr:rowOff>
    </xdr:from>
    <xdr:ext cx="715965" cy="4985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802D4134-0020-A8F3-EA0D-1DDDB7D617E5}"/>
                </a:ext>
              </a:extLst>
            </xdr:cNvPr>
            <xdr:cNvSpPr txBox="1"/>
          </xdr:nvSpPr>
          <xdr:spPr>
            <a:xfrm>
              <a:off x="8572500" y="1840230"/>
              <a:ext cx="715965" cy="4985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ru-RU" sz="110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ru-RU" sz="110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nary>
                      <m:naryPr>
                        <m:chr m:val="∑"/>
                        <m:limLoc m:val="undOvr"/>
                        <m:grow m:val="on"/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a:rPr lang="ru-RU" sz="1100" i="1">
                            <a:latin typeface="Cambria Math" panose="02040503050406030204" pitchFamily="18" charset="0"/>
                          </a:rPr>
                          <m:t>𝑗</m:t>
                        </m:r>
                        <m:r>
                          <a:rPr lang="ru-RU" sz="1100" i="0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  <m:sup>
                        <m:r>
                          <a:rPr lang="ru-RU" sz="1100" i="1">
                            <a:latin typeface="Cambria Math" panose="02040503050406030204" pitchFamily="18" charset="0"/>
                          </a:rPr>
                          <m:t>𝑘</m:t>
                        </m:r>
                      </m:sup>
                      <m:e>
                        <m:sSub>
                          <m:sSubPr>
                            <m:ctrlPr>
                              <a:rPr lang="ru-R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ru-RU" sz="110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</m:e>
                          <m:sub>
                            <m:r>
                              <a:rPr lang="ru-RU" sz="1100" i="1">
                                <a:latin typeface="Cambria Math" panose="02040503050406030204" pitchFamily="18" charset="0"/>
                              </a:rPr>
                              <m:t>𝑖𝑗</m:t>
                            </m:r>
                          </m:sub>
                        </m:sSub>
                        <m:sSub>
                          <m:sSubPr>
                            <m:ctrlPr>
                              <a:rPr lang="ru-R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ru-RU" sz="1100" i="1">
                                <a:latin typeface="Cambria Math" panose="02040503050406030204" pitchFamily="18" charset="0"/>
                              </a:rPr>
                              <m:t>𝑦</m:t>
                            </m:r>
                          </m:e>
                          <m:sub>
                            <m:r>
                              <a:rPr lang="ru-RU" sz="1100" i="1">
                                <a:latin typeface="Cambria Math" panose="02040503050406030204" pitchFamily="18" charset="0"/>
                              </a:rPr>
                              <m:t>𝑗</m:t>
                            </m:r>
                          </m:sub>
                        </m:sSub>
                      </m:e>
                    </m:nary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802D4134-0020-A8F3-EA0D-1DDDB7D617E5}"/>
                </a:ext>
              </a:extLst>
            </xdr:cNvPr>
            <xdr:cNvSpPr txBox="1"/>
          </xdr:nvSpPr>
          <xdr:spPr>
            <a:xfrm>
              <a:off x="8572500" y="1840230"/>
              <a:ext cx="715965" cy="4985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ru-RU" sz="1100" i="0">
                  <a:latin typeface="Cambria Math" panose="02040503050406030204" pitchFamily="18" charset="0"/>
                </a:rPr>
                <a:t>𝑥_𝑖 ∑129_(𝑗=1)^𝑘▒〖𝑚_𝑖𝑗 𝑦_𝑗 〗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10</xdr:col>
      <xdr:colOff>30480</xdr:colOff>
      <xdr:row>10</xdr:row>
      <xdr:rowOff>140970</xdr:rowOff>
    </xdr:from>
    <xdr:ext cx="609600" cy="1858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F9ABCBA5-B662-F913-C777-6D1855C1429A}"/>
                </a:ext>
              </a:extLst>
            </xdr:cNvPr>
            <xdr:cNvSpPr txBox="1"/>
          </xdr:nvSpPr>
          <xdr:spPr>
            <a:xfrm>
              <a:off x="6126480" y="1969770"/>
              <a:ext cx="609600" cy="1858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ru-RU" sz="1100" i="1">
                            <a:latin typeface="Cambria Math" panose="02040503050406030204" pitchFamily="18" charset="0"/>
                          </a:rPr>
                          <m:t>𝑚</m:t>
                        </m:r>
                      </m:e>
                      <m:sub>
                        <m:sSub>
                          <m:sSubPr>
                            <m:ctrlPr>
                              <a:rPr lang="ru-R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ru-RU" sz="110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</m:e>
                          <m:sub>
                            <m:r>
                              <a:rPr lang="ru-RU" sz="110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</m:sub>
                    </m:sSub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F9ABCBA5-B662-F913-C777-6D1855C1429A}"/>
                </a:ext>
              </a:extLst>
            </xdr:cNvPr>
            <xdr:cNvSpPr txBox="1"/>
          </xdr:nvSpPr>
          <xdr:spPr>
            <a:xfrm>
              <a:off x="6126480" y="1969770"/>
              <a:ext cx="609600" cy="1858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ru-RU" sz="1100" i="0">
                  <a:latin typeface="Cambria Math" panose="02040503050406030204" pitchFamily="18" charset="0"/>
                </a:rPr>
                <a:t>𝑚_(𝑥_𝑖 )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10</xdr:col>
      <xdr:colOff>533400</xdr:colOff>
      <xdr:row>10</xdr:row>
      <xdr:rowOff>262890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E024B12C-75A1-3C24-19F5-BEEB67A311EC}"/>
            </a:ext>
          </a:extLst>
        </xdr:cNvPr>
        <xdr:cNvSpPr txBox="1"/>
      </xdr:nvSpPr>
      <xdr:spPr>
        <a:xfrm>
          <a:off x="6629400" y="209169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10</xdr:col>
      <xdr:colOff>533400</xdr:colOff>
      <xdr:row>10</xdr:row>
      <xdr:rowOff>262890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B4AE072-3C04-D851-13CF-E07B7A356BF8}"/>
            </a:ext>
          </a:extLst>
        </xdr:cNvPr>
        <xdr:cNvSpPr txBox="1"/>
      </xdr:nvSpPr>
      <xdr:spPr>
        <a:xfrm>
          <a:off x="6629400" y="209169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0"/>
        </a:p>
      </xdr:txBody>
    </xdr:sp>
    <xdr:clientData/>
  </xdr:oneCellAnchor>
  <xdr:oneCellAnchor>
    <xdr:from>
      <xdr:col>10</xdr:col>
      <xdr:colOff>533400</xdr:colOff>
      <xdr:row>10</xdr:row>
      <xdr:rowOff>262890</xdr:rowOff>
    </xdr:from>
    <xdr:ext cx="65" cy="344453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3DA51CA6-3BE2-D4F1-5E13-1FB38DB49D5E}"/>
            </a:ext>
          </a:extLst>
        </xdr:cNvPr>
        <xdr:cNvSpPr txBox="1"/>
      </xdr:nvSpPr>
      <xdr:spPr>
        <a:xfrm>
          <a:off x="6629400" y="2091690"/>
          <a:ext cx="65" cy="34445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0"/>
        </a:p>
        <a:p>
          <a:endParaRPr lang="ru-RU" sz="1100"/>
        </a:p>
      </xdr:txBody>
    </xdr:sp>
    <xdr:clientData/>
  </xdr:oneCellAnchor>
  <xdr:oneCellAnchor>
    <xdr:from>
      <xdr:col>11</xdr:col>
      <xdr:colOff>38101</xdr:colOff>
      <xdr:row>10</xdr:row>
      <xdr:rowOff>163831</xdr:rowOff>
    </xdr:from>
    <xdr:ext cx="541020" cy="35888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7510EB8D-5A8C-9CBA-8915-020ACF7B9939}"/>
                </a:ext>
              </a:extLst>
            </xdr:cNvPr>
            <xdr:cNvSpPr txBox="1"/>
          </xdr:nvSpPr>
          <xdr:spPr>
            <a:xfrm>
              <a:off x="7025641" y="1992631"/>
              <a:ext cx="541020" cy="35888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</m:sub>
                        </m:sSub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∗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en-US" sz="1100" b="0"/>
            </a:p>
            <a:p>
              <a:endParaRPr lang="ru-RU" sz="1100"/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7510EB8D-5A8C-9CBA-8915-020ACF7B9939}"/>
                </a:ext>
              </a:extLst>
            </xdr:cNvPr>
            <xdr:cNvSpPr txBox="1"/>
          </xdr:nvSpPr>
          <xdr:spPr>
            <a:xfrm>
              <a:off x="7025641" y="1992631"/>
              <a:ext cx="541020" cy="35888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〖𝑚_𝑥〗_𝑖∗𝑥_𝑖</a:t>
              </a:r>
              <a:endParaRPr lang="en-US" sz="1100" b="0"/>
            </a:p>
            <a:p>
              <a:endParaRPr lang="ru-RU" sz="1100"/>
            </a:p>
          </xdr:txBody>
        </xdr:sp>
      </mc:Fallback>
    </mc:AlternateContent>
    <xdr:clientData/>
  </xdr:oneCellAnchor>
  <xdr:oneCellAnchor>
    <xdr:from>
      <xdr:col>1</xdr:col>
      <xdr:colOff>53340</xdr:colOff>
      <xdr:row>18</xdr:row>
      <xdr:rowOff>26671</xdr:rowOff>
    </xdr:from>
    <xdr:ext cx="579120" cy="37510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D2AC9471-E37D-0A76-BB4F-B72677CCCA42}"/>
                </a:ext>
              </a:extLst>
            </xdr:cNvPr>
            <xdr:cNvSpPr txBox="1"/>
          </xdr:nvSpPr>
          <xdr:spPr>
            <a:xfrm>
              <a:off x="662940" y="3653791"/>
              <a:ext cx="579120" cy="37510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𝑚</m:t>
                        </m:r>
                      </m:e>
                      <m:sub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𝑦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𝑗</m:t>
                            </m:r>
                          </m:sub>
                        </m:sSub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∗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</m:oMath>
                </m:oMathPara>
              </a14:m>
              <a:endParaRPr lang="en-US" sz="1100" b="0"/>
            </a:p>
            <a:p>
              <a:endParaRPr lang="ru-RU" sz="1100"/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D2AC9471-E37D-0A76-BB4F-B72677CCCA42}"/>
                </a:ext>
              </a:extLst>
            </xdr:cNvPr>
            <xdr:cNvSpPr txBox="1"/>
          </xdr:nvSpPr>
          <xdr:spPr>
            <a:xfrm>
              <a:off x="662940" y="3653791"/>
              <a:ext cx="579120" cy="37510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𝑚_(𝑦_𝑗 )∗𝑦_𝑗</a:t>
              </a:r>
              <a:endParaRPr lang="en-US" sz="1100" b="0"/>
            </a:p>
            <a:p>
              <a:endParaRPr lang="ru-RU" sz="1100"/>
            </a:p>
          </xdr:txBody>
        </xdr:sp>
      </mc:Fallback>
    </mc:AlternateContent>
    <xdr:clientData/>
  </xdr:oneCellAnchor>
  <xdr:oneCellAnchor>
    <xdr:from>
      <xdr:col>1</xdr:col>
      <xdr:colOff>30480</xdr:colOff>
      <xdr:row>19</xdr:row>
      <xdr:rowOff>26670</xdr:rowOff>
    </xdr:from>
    <xdr:ext cx="568169" cy="4621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3D43C9D8-8263-FE74-1462-28466A6EF67A}"/>
                </a:ext>
              </a:extLst>
            </xdr:cNvPr>
            <xdr:cNvSpPr txBox="1"/>
          </xdr:nvSpPr>
          <xdr:spPr>
            <a:xfrm>
              <a:off x="640080" y="3935730"/>
              <a:ext cx="568169" cy="4621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nary>
                      <m:naryPr>
                        <m:chr m:val="∑"/>
                        <m:limLoc m:val="undOvr"/>
                        <m:grow m:val="on"/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a:rPr lang="ru-RU" sz="110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ru-RU" sz="1100" i="0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  <m:sup>
                        <m:r>
                          <a:rPr lang="ru-RU" sz="1100" i="1">
                            <a:latin typeface="Cambria Math" panose="02040503050406030204" pitchFamily="18" charset="0"/>
                          </a:rPr>
                          <m:t>𝑚</m:t>
                        </m:r>
                      </m:sup>
                      <m:e>
                        <m:sSub>
                          <m:sSubPr>
                            <m:ctrlPr>
                              <a:rPr lang="ru-R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ru-RU" sz="110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</m:e>
                          <m:sub>
                            <m:r>
                              <a:rPr lang="ru-RU" sz="1100" i="1">
                                <a:latin typeface="Cambria Math" panose="02040503050406030204" pitchFamily="18" charset="0"/>
                              </a:rPr>
                              <m:t>𝑖𝑗</m:t>
                            </m:r>
                          </m:sub>
                        </m:sSub>
                        <m:sSub>
                          <m:sSubPr>
                            <m:ctrlPr>
                              <a:rPr lang="ru-R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ru-RU" sz="110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</m:e>
                          <m:sub>
                            <m:r>
                              <a:rPr lang="ru-RU" sz="110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</m:e>
                    </m:nary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3D43C9D8-8263-FE74-1462-28466A6EF67A}"/>
                </a:ext>
              </a:extLst>
            </xdr:cNvPr>
            <xdr:cNvSpPr txBox="1"/>
          </xdr:nvSpPr>
          <xdr:spPr>
            <a:xfrm>
              <a:off x="640080" y="3935730"/>
              <a:ext cx="568169" cy="4621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ru-RU" sz="1100" i="0">
                  <a:latin typeface="Cambria Math" panose="02040503050406030204" pitchFamily="18" charset="0"/>
                </a:rPr>
                <a:t>∑129_(𝑖=1)^𝑚▒〖𝑚_𝑖𝑗 𝑥_𝑖 〗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10</xdr:col>
      <xdr:colOff>533400</xdr:colOff>
      <xdr:row>13</xdr:row>
      <xdr:rowOff>118110</xdr:rowOff>
    </xdr:from>
    <xdr:ext cx="65" cy="17222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D5A213E0-A223-52A1-879A-A52652608678}"/>
            </a:ext>
          </a:extLst>
        </xdr:cNvPr>
        <xdr:cNvSpPr txBox="1"/>
      </xdr:nvSpPr>
      <xdr:spPr>
        <a:xfrm>
          <a:off x="6629400" y="283083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</xdr:col>
      <xdr:colOff>129540</xdr:colOff>
      <xdr:row>20</xdr:row>
      <xdr:rowOff>87630</xdr:rowOff>
    </xdr:from>
    <xdr:ext cx="389658" cy="19761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AADDA38B-36FC-3E7F-EBFC-12BB46C5C580}"/>
                </a:ext>
              </a:extLst>
            </xdr:cNvPr>
            <xdr:cNvSpPr txBox="1"/>
          </xdr:nvSpPr>
          <xdr:spPr>
            <a:xfrm>
              <a:off x="739140" y="4507230"/>
              <a:ext cx="389658" cy="19761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ru-RU" sz="110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  <m:sub>
                        <m:r>
                          <a:rPr lang="ru-R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  <m:sup>
                        <m:r>
                          <a:rPr lang="ru-RU" sz="1100" i="0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  <m:sSub>
                      <m:sSub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ru-RU" sz="1100" i="1">
                            <a:latin typeface="Cambria Math" panose="02040503050406030204" pitchFamily="18" charset="0"/>
                          </a:rPr>
                          <m:t>𝑚</m:t>
                        </m:r>
                      </m:e>
                      <m:sub>
                        <m:r>
                          <a:rPr lang="ru-RU" sz="1100" i="1">
                            <a:latin typeface="Cambria Math" panose="02040503050406030204" pitchFamily="18" charset="0"/>
                          </a:rPr>
                          <m:t>𝑖𝑗</m:t>
                        </m:r>
                      </m:sub>
                    </m:sSub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AADDA38B-36FC-3E7F-EBFC-12BB46C5C580}"/>
                </a:ext>
              </a:extLst>
            </xdr:cNvPr>
            <xdr:cNvSpPr txBox="1"/>
          </xdr:nvSpPr>
          <xdr:spPr>
            <a:xfrm>
              <a:off x="739140" y="4507230"/>
              <a:ext cx="389658" cy="19761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ru-RU" sz="1100" i="0">
                  <a:latin typeface="Cambria Math" panose="02040503050406030204" pitchFamily="18" charset="0"/>
                </a:rPr>
                <a:t>𝑦_𝑗^2 𝑚_𝑖𝑗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1</xdr:col>
      <xdr:colOff>38100</xdr:colOff>
      <xdr:row>21</xdr:row>
      <xdr:rowOff>34290</xdr:rowOff>
    </xdr:from>
    <xdr:ext cx="715965" cy="4621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3F836FF2-CD6F-07D6-D330-BBB600F42671}"/>
                </a:ext>
              </a:extLst>
            </xdr:cNvPr>
            <xdr:cNvSpPr txBox="1"/>
          </xdr:nvSpPr>
          <xdr:spPr>
            <a:xfrm>
              <a:off x="647700" y="4827270"/>
              <a:ext cx="715965" cy="4621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ru-RU" sz="110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  <m:sub>
                        <m:r>
                          <a:rPr lang="ru-R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  <m:nary>
                      <m:naryPr>
                        <m:chr m:val="∑"/>
                        <m:limLoc m:val="undOvr"/>
                        <m:grow m:val="on"/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a:rPr lang="ru-RU" sz="110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ru-RU" sz="1100" i="0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  <m:sup>
                        <m:r>
                          <a:rPr lang="ru-RU" sz="1100" i="1">
                            <a:latin typeface="Cambria Math" panose="02040503050406030204" pitchFamily="18" charset="0"/>
                          </a:rPr>
                          <m:t>𝑚</m:t>
                        </m:r>
                      </m:sup>
                      <m:e>
                        <m:sSub>
                          <m:sSubPr>
                            <m:ctrlPr>
                              <a:rPr lang="ru-R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ru-RU" sz="110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</m:e>
                          <m:sub>
                            <m:r>
                              <a:rPr lang="ru-RU" sz="1100" i="1">
                                <a:latin typeface="Cambria Math" panose="02040503050406030204" pitchFamily="18" charset="0"/>
                              </a:rPr>
                              <m:t>𝑖𝑗</m:t>
                            </m:r>
                          </m:sub>
                        </m:sSub>
                        <m:sSub>
                          <m:sSubPr>
                            <m:ctrlPr>
                              <a:rPr lang="ru-R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ru-RU" sz="110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</m:e>
                          <m:sub>
                            <m:r>
                              <a:rPr lang="ru-RU" sz="110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</m:e>
                    </m:nary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3F836FF2-CD6F-07D6-D330-BBB600F42671}"/>
                </a:ext>
              </a:extLst>
            </xdr:cNvPr>
            <xdr:cNvSpPr txBox="1"/>
          </xdr:nvSpPr>
          <xdr:spPr>
            <a:xfrm>
              <a:off x="647700" y="4827270"/>
              <a:ext cx="715965" cy="4621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ru-RU" sz="1100" i="0">
                  <a:latin typeface="Cambria Math" panose="02040503050406030204" pitchFamily="18" charset="0"/>
                </a:rPr>
                <a:t>𝑦_𝑗 ∑129_(𝑖=1)^𝑚▒〖𝑚_𝑖𝑗 𝑥_𝑖 〗</a:t>
              </a:r>
              <a:endParaRPr lang="ru-RU" sz="1100"/>
            </a:p>
          </xdr:txBody>
        </xdr:sp>
      </mc:Fallback>
    </mc:AlternateContent>
    <xdr:clientData/>
  </xdr:oneCellAnchor>
  <xdr:twoCellAnchor editAs="oneCell">
    <xdr:from>
      <xdr:col>0</xdr:col>
      <xdr:colOff>30480</xdr:colOff>
      <xdr:row>28</xdr:row>
      <xdr:rowOff>99060</xdr:rowOff>
    </xdr:from>
    <xdr:to>
      <xdr:col>2</xdr:col>
      <xdr:colOff>312420</xdr:colOff>
      <xdr:row>31</xdr:row>
      <xdr:rowOff>93415</xdr:rowOff>
    </xdr:to>
    <xdr:pic>
      <xdr:nvPicPr>
        <xdr:cNvPr id="16" name="Рисунок 15">
          <a:extLst>
            <a:ext uri="{FF2B5EF4-FFF2-40B4-BE49-F238E27FC236}">
              <a16:creationId xmlns:a16="http://schemas.microsoft.com/office/drawing/2014/main" id="{F7DC4D97-9889-4CC0-89F9-E1780D0E46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" y="6553200"/>
          <a:ext cx="1783080" cy="5429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BFE64-D886-4B19-A49A-A9ACF4B38F32}">
  <dimension ref="A1:AK29"/>
  <sheetViews>
    <sheetView tabSelected="1" topLeftCell="A11" workbookViewId="0">
      <selection activeCell="D20" sqref="D20"/>
    </sheetView>
  </sheetViews>
  <sheetFormatPr defaultRowHeight="14.4" x14ac:dyDescent="0.3"/>
  <cols>
    <col min="2" max="2" width="13" customWidth="1"/>
    <col min="15" max="15" width="12.109375" customWidth="1"/>
  </cols>
  <sheetData>
    <row r="1" spans="1:37" x14ac:dyDescent="0.3">
      <c r="A1" t="s">
        <v>2</v>
      </c>
      <c r="B1">
        <v>0.2</v>
      </c>
      <c r="C1">
        <v>0.4</v>
      </c>
      <c r="D1">
        <v>0.6</v>
      </c>
      <c r="E1">
        <v>0.8</v>
      </c>
      <c r="F1">
        <v>1</v>
      </c>
      <c r="G1">
        <v>1.2</v>
      </c>
      <c r="H1">
        <v>1.4</v>
      </c>
      <c r="I1">
        <v>1.6</v>
      </c>
      <c r="J1" s="1" t="s">
        <v>0</v>
      </c>
      <c r="P1" t="s">
        <v>2</v>
      </c>
      <c r="Q1">
        <v>0.2</v>
      </c>
      <c r="R1">
        <v>0.4</v>
      </c>
      <c r="S1">
        <v>0.6</v>
      </c>
      <c r="T1">
        <v>0.8</v>
      </c>
      <c r="U1">
        <v>1</v>
      </c>
      <c r="V1">
        <v>1.2</v>
      </c>
      <c r="W1">
        <v>1.4</v>
      </c>
      <c r="X1">
        <v>1.6</v>
      </c>
      <c r="Y1" s="1" t="s">
        <v>0</v>
      </c>
      <c r="AB1" t="s">
        <v>2</v>
      </c>
      <c r="AC1">
        <v>4.5</v>
      </c>
      <c r="AD1">
        <v>6</v>
      </c>
      <c r="AE1">
        <v>7.5</v>
      </c>
      <c r="AF1">
        <v>9</v>
      </c>
      <c r="AG1">
        <v>10.5</v>
      </c>
      <c r="AH1">
        <v>12</v>
      </c>
      <c r="AI1">
        <v>13.5</v>
      </c>
      <c r="AJ1">
        <v>15</v>
      </c>
      <c r="AK1" s="1" t="s">
        <v>0</v>
      </c>
    </row>
    <row r="2" spans="1:37" x14ac:dyDescent="0.3">
      <c r="A2">
        <v>250</v>
      </c>
      <c r="B2">
        <v>3</v>
      </c>
      <c r="C2">
        <v>4</v>
      </c>
      <c r="D2">
        <v>5</v>
      </c>
      <c r="E2">
        <v>0</v>
      </c>
      <c r="F2">
        <v>0</v>
      </c>
      <c r="G2">
        <v>0</v>
      </c>
      <c r="H2">
        <v>0</v>
      </c>
      <c r="I2">
        <v>0</v>
      </c>
      <c r="J2">
        <f t="shared" ref="J2:J7" si="0">SUM(B2:I2)</f>
        <v>12</v>
      </c>
      <c r="P2">
        <v>250</v>
      </c>
      <c r="Q2">
        <v>3</v>
      </c>
      <c r="R2">
        <v>4</v>
      </c>
      <c r="S2">
        <v>5</v>
      </c>
      <c r="T2">
        <v>0</v>
      </c>
      <c r="U2">
        <v>0</v>
      </c>
      <c r="V2">
        <v>0</v>
      </c>
      <c r="W2">
        <v>0</v>
      </c>
      <c r="X2">
        <v>0</v>
      </c>
      <c r="Y2">
        <f t="shared" ref="Y2:Y7" si="1">SUM(Q2:X2)</f>
        <v>12</v>
      </c>
      <c r="AB2">
        <v>60</v>
      </c>
      <c r="AC2">
        <v>2</v>
      </c>
      <c r="AD2">
        <v>4</v>
      </c>
      <c r="AE2">
        <v>3</v>
      </c>
      <c r="AF2">
        <v>10</v>
      </c>
      <c r="AG2">
        <v>4</v>
      </c>
      <c r="AH2">
        <v>0</v>
      </c>
      <c r="AI2">
        <v>0</v>
      </c>
      <c r="AJ2">
        <v>0</v>
      </c>
      <c r="AK2">
        <f t="shared" ref="AK2:AK7" si="2">SUM(AC2:AJ2)</f>
        <v>23</v>
      </c>
    </row>
    <row r="3" spans="1:37" x14ac:dyDescent="0.3">
      <c r="A3">
        <v>450</v>
      </c>
      <c r="B3">
        <v>0</v>
      </c>
      <c r="C3">
        <v>6</v>
      </c>
      <c r="D3">
        <v>2</v>
      </c>
      <c r="E3">
        <v>8</v>
      </c>
      <c r="F3">
        <v>0</v>
      </c>
      <c r="G3">
        <v>0</v>
      </c>
      <c r="H3">
        <v>0</v>
      </c>
      <c r="I3">
        <v>0</v>
      </c>
      <c r="J3">
        <f t="shared" si="0"/>
        <v>16</v>
      </c>
      <c r="P3">
        <v>450</v>
      </c>
      <c r="Q3">
        <v>0</v>
      </c>
      <c r="R3">
        <v>6</v>
      </c>
      <c r="S3">
        <v>2</v>
      </c>
      <c r="T3">
        <v>8</v>
      </c>
      <c r="U3">
        <v>0</v>
      </c>
      <c r="V3">
        <v>0</v>
      </c>
      <c r="W3">
        <v>0</v>
      </c>
      <c r="X3">
        <v>0</v>
      </c>
      <c r="Y3">
        <f t="shared" si="1"/>
        <v>16</v>
      </c>
      <c r="AB3">
        <v>90</v>
      </c>
      <c r="AC3">
        <v>0</v>
      </c>
      <c r="AD3">
        <v>0</v>
      </c>
      <c r="AE3">
        <v>6</v>
      </c>
      <c r="AF3">
        <v>14</v>
      </c>
      <c r="AG3">
        <v>5</v>
      </c>
      <c r="AH3">
        <v>0</v>
      </c>
      <c r="AI3">
        <v>0</v>
      </c>
      <c r="AJ3">
        <v>0</v>
      </c>
      <c r="AK3">
        <f t="shared" si="2"/>
        <v>25</v>
      </c>
    </row>
    <row r="4" spans="1:37" x14ac:dyDescent="0.3">
      <c r="A4">
        <v>650</v>
      </c>
      <c r="B4">
        <v>0</v>
      </c>
      <c r="C4">
        <v>0</v>
      </c>
      <c r="D4">
        <v>0</v>
      </c>
      <c r="E4">
        <v>5</v>
      </c>
      <c r="F4">
        <v>14</v>
      </c>
      <c r="G4">
        <v>9</v>
      </c>
      <c r="H4">
        <v>0</v>
      </c>
      <c r="I4">
        <v>0</v>
      </c>
      <c r="J4">
        <f t="shared" si="0"/>
        <v>28</v>
      </c>
      <c r="P4">
        <v>650</v>
      </c>
      <c r="Q4">
        <v>0</v>
      </c>
      <c r="R4">
        <v>0</v>
      </c>
      <c r="S4">
        <v>0</v>
      </c>
      <c r="T4">
        <v>5</v>
      </c>
      <c r="U4">
        <v>14</v>
      </c>
      <c r="V4">
        <v>9</v>
      </c>
      <c r="W4">
        <v>0</v>
      </c>
      <c r="X4">
        <v>0</v>
      </c>
      <c r="Y4">
        <f t="shared" si="1"/>
        <v>28</v>
      </c>
      <c r="AB4">
        <v>120</v>
      </c>
      <c r="AC4">
        <v>0</v>
      </c>
      <c r="AD4">
        <v>0</v>
      </c>
      <c r="AE4">
        <v>0</v>
      </c>
      <c r="AF4">
        <v>0</v>
      </c>
      <c r="AG4">
        <v>17</v>
      </c>
      <c r="AH4">
        <v>5</v>
      </c>
      <c r="AI4">
        <v>4</v>
      </c>
      <c r="AJ4">
        <v>0</v>
      </c>
      <c r="AK4">
        <f t="shared" si="2"/>
        <v>26</v>
      </c>
    </row>
    <row r="5" spans="1:37" x14ac:dyDescent="0.3">
      <c r="A5">
        <v>850</v>
      </c>
      <c r="B5">
        <v>0</v>
      </c>
      <c r="C5">
        <v>0</v>
      </c>
      <c r="D5">
        <v>0</v>
      </c>
      <c r="E5">
        <v>6</v>
      </c>
      <c r="F5">
        <v>8</v>
      </c>
      <c r="G5">
        <v>6</v>
      </c>
      <c r="H5">
        <v>0</v>
      </c>
      <c r="I5">
        <v>0</v>
      </c>
      <c r="J5">
        <f t="shared" si="0"/>
        <v>20</v>
      </c>
      <c r="P5">
        <v>850</v>
      </c>
      <c r="Q5">
        <v>0</v>
      </c>
      <c r="R5">
        <v>0</v>
      </c>
      <c r="S5">
        <v>0</v>
      </c>
      <c r="T5">
        <v>6</v>
      </c>
      <c r="U5">
        <v>8</v>
      </c>
      <c r="V5">
        <v>6</v>
      </c>
      <c r="W5">
        <v>0</v>
      </c>
      <c r="X5">
        <v>0</v>
      </c>
      <c r="Y5">
        <f t="shared" si="1"/>
        <v>20</v>
      </c>
      <c r="AB5">
        <v>150</v>
      </c>
      <c r="AC5">
        <v>0</v>
      </c>
      <c r="AD5">
        <v>0</v>
      </c>
      <c r="AE5">
        <v>0</v>
      </c>
      <c r="AF5">
        <v>0</v>
      </c>
      <c r="AG5">
        <v>0</v>
      </c>
      <c r="AH5">
        <v>8</v>
      </c>
      <c r="AI5">
        <v>3</v>
      </c>
      <c r="AJ5">
        <v>2</v>
      </c>
      <c r="AK5">
        <f t="shared" si="2"/>
        <v>13</v>
      </c>
    </row>
    <row r="6" spans="1:37" x14ac:dyDescent="0.3">
      <c r="A6">
        <v>1050</v>
      </c>
      <c r="B6">
        <v>0</v>
      </c>
      <c r="C6">
        <v>0</v>
      </c>
      <c r="D6">
        <v>0</v>
      </c>
      <c r="E6">
        <v>0</v>
      </c>
      <c r="F6">
        <v>5</v>
      </c>
      <c r="G6">
        <v>7</v>
      </c>
      <c r="H6">
        <v>4</v>
      </c>
      <c r="I6">
        <v>0</v>
      </c>
      <c r="J6">
        <f t="shared" si="0"/>
        <v>16</v>
      </c>
      <c r="P6">
        <v>1050</v>
      </c>
      <c r="Q6">
        <v>0</v>
      </c>
      <c r="R6">
        <v>0</v>
      </c>
      <c r="S6">
        <v>0</v>
      </c>
      <c r="T6">
        <v>0</v>
      </c>
      <c r="U6">
        <v>5</v>
      </c>
      <c r="V6">
        <v>7</v>
      </c>
      <c r="W6">
        <v>4</v>
      </c>
      <c r="X6">
        <v>0</v>
      </c>
      <c r="Y6">
        <f t="shared" si="1"/>
        <v>16</v>
      </c>
      <c r="AB6">
        <v>180</v>
      </c>
      <c r="AC6">
        <v>0</v>
      </c>
      <c r="AD6">
        <v>0</v>
      </c>
      <c r="AE6">
        <v>0</v>
      </c>
      <c r="AF6">
        <v>0</v>
      </c>
      <c r="AG6">
        <v>0</v>
      </c>
      <c r="AH6">
        <v>4</v>
      </c>
      <c r="AI6">
        <v>3</v>
      </c>
      <c r="AJ6">
        <v>1</v>
      </c>
      <c r="AK6">
        <f t="shared" si="2"/>
        <v>8</v>
      </c>
    </row>
    <row r="7" spans="1:37" x14ac:dyDescent="0.3">
      <c r="A7">
        <v>1250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5</v>
      </c>
      <c r="I7">
        <v>3</v>
      </c>
      <c r="J7">
        <f t="shared" si="0"/>
        <v>8</v>
      </c>
      <c r="P7">
        <v>1250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5</v>
      </c>
      <c r="X7">
        <v>3</v>
      </c>
      <c r="Y7">
        <f t="shared" si="1"/>
        <v>8</v>
      </c>
      <c r="AB7">
        <v>210</v>
      </c>
      <c r="AC7">
        <v>0</v>
      </c>
      <c r="AD7">
        <v>0</v>
      </c>
      <c r="AE7">
        <v>0</v>
      </c>
      <c r="AF7">
        <v>0</v>
      </c>
      <c r="AG7">
        <v>0</v>
      </c>
      <c r="AH7">
        <v>2</v>
      </c>
      <c r="AI7">
        <v>1</v>
      </c>
      <c r="AJ7">
        <v>2</v>
      </c>
      <c r="AK7">
        <f t="shared" si="2"/>
        <v>5</v>
      </c>
    </row>
    <row r="8" spans="1:37" x14ac:dyDescent="0.3">
      <c r="A8" t="s">
        <v>1</v>
      </c>
      <c r="B8">
        <f t="shared" ref="B8" si="3">SUM(B2:B7)</f>
        <v>3</v>
      </c>
      <c r="C8">
        <f t="shared" ref="C8" si="4">SUM(C2:C7)</f>
        <v>10</v>
      </c>
      <c r="D8">
        <f t="shared" ref="D8" si="5">SUM(D2:D7)</f>
        <v>7</v>
      </c>
      <c r="E8">
        <f t="shared" ref="E8" si="6">SUM(E2:E7)</f>
        <v>19</v>
      </c>
      <c r="F8">
        <f t="shared" ref="F8" si="7">SUM(F2:F7)</f>
        <v>27</v>
      </c>
      <c r="G8">
        <f t="shared" ref="G8" si="8">SUM(G2:G7)</f>
        <v>22</v>
      </c>
      <c r="H8">
        <f t="shared" ref="H8" si="9">SUM(H2:H7)</f>
        <v>9</v>
      </c>
      <c r="I8">
        <f t="shared" ref="I8" si="10">SUM(I2:I7)</f>
        <v>3</v>
      </c>
      <c r="J8">
        <f>SUM(J2:J7,B8:I8)/2</f>
        <v>100</v>
      </c>
      <c r="P8" t="s">
        <v>1</v>
      </c>
      <c r="Q8">
        <f t="shared" ref="Q8:X8" si="11">SUM(Q2:Q7)</f>
        <v>3</v>
      </c>
      <c r="R8">
        <f t="shared" si="11"/>
        <v>10</v>
      </c>
      <c r="S8">
        <f t="shared" si="11"/>
        <v>7</v>
      </c>
      <c r="T8">
        <f t="shared" si="11"/>
        <v>19</v>
      </c>
      <c r="U8">
        <f t="shared" si="11"/>
        <v>27</v>
      </c>
      <c r="V8">
        <f t="shared" si="11"/>
        <v>22</v>
      </c>
      <c r="W8">
        <f t="shared" si="11"/>
        <v>9</v>
      </c>
      <c r="X8">
        <f t="shared" si="11"/>
        <v>3</v>
      </c>
      <c r="Y8">
        <f>SUM(Y2:Y7,Q8:X8)/2</f>
        <v>100</v>
      </c>
      <c r="AB8" t="s">
        <v>1</v>
      </c>
      <c r="AC8">
        <f t="shared" ref="AC8" si="12">SUM(AC2:AC7)</f>
        <v>2</v>
      </c>
      <c r="AD8">
        <f t="shared" ref="AD8" si="13">SUM(AD2:AD7)</f>
        <v>4</v>
      </c>
      <c r="AE8">
        <f t="shared" ref="AE8" si="14">SUM(AE2:AE7)</f>
        <v>9</v>
      </c>
      <c r="AF8">
        <f t="shared" ref="AF8" si="15">SUM(AF2:AF7)</f>
        <v>24</v>
      </c>
      <c r="AG8">
        <f t="shared" ref="AG8" si="16">SUM(AG2:AG7)</f>
        <v>26</v>
      </c>
      <c r="AH8">
        <f t="shared" ref="AH8" si="17">SUM(AH2:AH7)</f>
        <v>19</v>
      </c>
      <c r="AI8">
        <f t="shared" ref="AI8" si="18">SUM(AI2:AI7)</f>
        <v>11</v>
      </c>
      <c r="AJ8">
        <f t="shared" ref="AJ8" si="19">SUM(AJ2:AJ7)</f>
        <v>5</v>
      </c>
      <c r="AK8">
        <f>SUM(AK2:AK7,AC8:AJ8)/2</f>
        <v>100</v>
      </c>
    </row>
    <row r="10" spans="1:37" x14ac:dyDescent="0.3">
      <c r="B10" t="s">
        <v>4</v>
      </c>
      <c r="C10">
        <v>1</v>
      </c>
      <c r="D10">
        <v>2</v>
      </c>
      <c r="E10">
        <v>3</v>
      </c>
      <c r="F10">
        <v>4</v>
      </c>
      <c r="G10">
        <v>5</v>
      </c>
      <c r="H10">
        <v>6</v>
      </c>
      <c r="I10">
        <v>7</v>
      </c>
      <c r="J10">
        <v>8</v>
      </c>
      <c r="K10">
        <v>9</v>
      </c>
      <c r="L10">
        <v>10</v>
      </c>
      <c r="M10">
        <v>11</v>
      </c>
      <c r="N10">
        <v>12</v>
      </c>
      <c r="O10">
        <v>13</v>
      </c>
    </row>
    <row r="11" spans="1:37" ht="40.799999999999997" customHeight="1" x14ac:dyDescent="0.3">
      <c r="A11" t="s">
        <v>3</v>
      </c>
      <c r="B11" t="str">
        <f>A1</f>
        <v>X\Y</v>
      </c>
      <c r="C11">
        <f>B1</f>
        <v>0.2</v>
      </c>
      <c r="D11">
        <f t="shared" ref="D11:J11" si="20">C1</f>
        <v>0.4</v>
      </c>
      <c r="E11">
        <f t="shared" si="20"/>
        <v>0.6</v>
      </c>
      <c r="F11">
        <f t="shared" si="20"/>
        <v>0.8</v>
      </c>
      <c r="G11">
        <f t="shared" si="20"/>
        <v>1</v>
      </c>
      <c r="H11">
        <f t="shared" si="20"/>
        <v>1.2</v>
      </c>
      <c r="I11">
        <f t="shared" si="20"/>
        <v>1.4</v>
      </c>
      <c r="J11">
        <f t="shared" si="20"/>
        <v>1.6</v>
      </c>
    </row>
    <row r="12" spans="1:37" x14ac:dyDescent="0.3">
      <c r="A12">
        <v>1</v>
      </c>
      <c r="B12">
        <f>A2</f>
        <v>250</v>
      </c>
      <c r="C12">
        <f t="shared" ref="C12:K12" si="21">B2</f>
        <v>3</v>
      </c>
      <c r="D12">
        <f t="shared" si="21"/>
        <v>4</v>
      </c>
      <c r="E12">
        <f t="shared" si="21"/>
        <v>5</v>
      </c>
      <c r="F12">
        <f t="shared" si="21"/>
        <v>0</v>
      </c>
      <c r="G12">
        <f t="shared" si="21"/>
        <v>0</v>
      </c>
      <c r="H12">
        <f t="shared" si="21"/>
        <v>0</v>
      </c>
      <c r="I12">
        <f t="shared" si="21"/>
        <v>0</v>
      </c>
      <c r="J12">
        <f t="shared" si="21"/>
        <v>0</v>
      </c>
      <c r="K12">
        <f t="shared" si="21"/>
        <v>12</v>
      </c>
      <c r="L12">
        <f t="shared" ref="L12:L17" si="22">K12*B12</f>
        <v>3000</v>
      </c>
      <c r="M12">
        <f t="shared" ref="M12:M17" si="23">SUMPRODUCT(C12:J12,$C$11:$J$11)</f>
        <v>5.2</v>
      </c>
      <c r="N12">
        <f t="shared" ref="N12:N17" si="24">B12*B12*K12</f>
        <v>750000</v>
      </c>
      <c r="O12">
        <f t="shared" ref="O12:O17" si="25">B12*M12</f>
        <v>1300</v>
      </c>
    </row>
    <row r="13" spans="1:37" x14ac:dyDescent="0.3">
      <c r="A13">
        <v>2</v>
      </c>
      <c r="B13">
        <f t="shared" ref="B13:K13" si="26">A3</f>
        <v>450</v>
      </c>
      <c r="C13">
        <f t="shared" si="26"/>
        <v>0</v>
      </c>
      <c r="D13">
        <f t="shared" si="26"/>
        <v>6</v>
      </c>
      <c r="E13">
        <f t="shared" si="26"/>
        <v>2</v>
      </c>
      <c r="F13">
        <f t="shared" si="26"/>
        <v>8</v>
      </c>
      <c r="G13">
        <f t="shared" si="26"/>
        <v>0</v>
      </c>
      <c r="H13">
        <f t="shared" si="26"/>
        <v>0</v>
      </c>
      <c r="I13">
        <f t="shared" si="26"/>
        <v>0</v>
      </c>
      <c r="J13">
        <f t="shared" si="26"/>
        <v>0</v>
      </c>
      <c r="K13">
        <f t="shared" si="26"/>
        <v>16</v>
      </c>
      <c r="L13">
        <f t="shared" si="22"/>
        <v>7200</v>
      </c>
      <c r="M13">
        <f t="shared" si="23"/>
        <v>10</v>
      </c>
      <c r="N13">
        <f t="shared" si="24"/>
        <v>3240000</v>
      </c>
      <c r="O13">
        <f t="shared" si="25"/>
        <v>4500</v>
      </c>
    </row>
    <row r="14" spans="1:37" x14ac:dyDescent="0.3">
      <c r="A14">
        <v>3</v>
      </c>
      <c r="B14">
        <f t="shared" ref="B14:K14" si="27">A4</f>
        <v>650</v>
      </c>
      <c r="C14">
        <f t="shared" si="27"/>
        <v>0</v>
      </c>
      <c r="D14">
        <f t="shared" si="27"/>
        <v>0</v>
      </c>
      <c r="E14">
        <f t="shared" si="27"/>
        <v>0</v>
      </c>
      <c r="F14">
        <f t="shared" si="27"/>
        <v>5</v>
      </c>
      <c r="G14">
        <f t="shared" si="27"/>
        <v>14</v>
      </c>
      <c r="H14">
        <f t="shared" si="27"/>
        <v>9</v>
      </c>
      <c r="I14">
        <f t="shared" si="27"/>
        <v>0</v>
      </c>
      <c r="J14">
        <f t="shared" si="27"/>
        <v>0</v>
      </c>
      <c r="K14">
        <f t="shared" si="27"/>
        <v>28</v>
      </c>
      <c r="L14">
        <f t="shared" si="22"/>
        <v>18200</v>
      </c>
      <c r="M14">
        <f t="shared" si="23"/>
        <v>28.799999999999997</v>
      </c>
      <c r="N14">
        <f t="shared" si="24"/>
        <v>11830000</v>
      </c>
      <c r="O14">
        <f t="shared" si="25"/>
        <v>18719.999999999996</v>
      </c>
    </row>
    <row r="15" spans="1:37" x14ac:dyDescent="0.3">
      <c r="A15">
        <v>4</v>
      </c>
      <c r="B15">
        <f t="shared" ref="B15:K15" si="28">A5</f>
        <v>850</v>
      </c>
      <c r="C15">
        <f t="shared" si="28"/>
        <v>0</v>
      </c>
      <c r="D15">
        <f t="shared" si="28"/>
        <v>0</v>
      </c>
      <c r="E15">
        <f t="shared" si="28"/>
        <v>0</v>
      </c>
      <c r="F15">
        <f t="shared" si="28"/>
        <v>6</v>
      </c>
      <c r="G15">
        <f t="shared" si="28"/>
        <v>8</v>
      </c>
      <c r="H15">
        <f t="shared" si="28"/>
        <v>6</v>
      </c>
      <c r="I15">
        <f t="shared" si="28"/>
        <v>0</v>
      </c>
      <c r="J15">
        <f t="shared" si="28"/>
        <v>0</v>
      </c>
      <c r="K15">
        <f t="shared" si="28"/>
        <v>20</v>
      </c>
      <c r="L15">
        <f t="shared" si="22"/>
        <v>17000</v>
      </c>
      <c r="M15">
        <f t="shared" si="23"/>
        <v>20</v>
      </c>
      <c r="N15">
        <f t="shared" si="24"/>
        <v>14450000</v>
      </c>
      <c r="O15">
        <f t="shared" si="25"/>
        <v>17000</v>
      </c>
    </row>
    <row r="16" spans="1:37" x14ac:dyDescent="0.3">
      <c r="A16">
        <v>5</v>
      </c>
      <c r="B16">
        <f t="shared" ref="B16:K16" si="29">A6</f>
        <v>1050</v>
      </c>
      <c r="C16">
        <f t="shared" si="29"/>
        <v>0</v>
      </c>
      <c r="D16">
        <f t="shared" si="29"/>
        <v>0</v>
      </c>
      <c r="E16">
        <f t="shared" si="29"/>
        <v>0</v>
      </c>
      <c r="F16">
        <f t="shared" si="29"/>
        <v>0</v>
      </c>
      <c r="G16">
        <f t="shared" si="29"/>
        <v>5</v>
      </c>
      <c r="H16">
        <f t="shared" si="29"/>
        <v>7</v>
      </c>
      <c r="I16">
        <f t="shared" si="29"/>
        <v>4</v>
      </c>
      <c r="J16">
        <f t="shared" si="29"/>
        <v>0</v>
      </c>
      <c r="K16">
        <f t="shared" si="29"/>
        <v>16</v>
      </c>
      <c r="L16">
        <f t="shared" si="22"/>
        <v>16800</v>
      </c>
      <c r="M16">
        <f t="shared" si="23"/>
        <v>19</v>
      </c>
      <c r="N16">
        <f t="shared" si="24"/>
        <v>17640000</v>
      </c>
      <c r="O16">
        <f t="shared" si="25"/>
        <v>19950</v>
      </c>
    </row>
    <row r="17" spans="1:15" x14ac:dyDescent="0.3">
      <c r="A17">
        <v>6</v>
      </c>
      <c r="B17">
        <f t="shared" ref="B17:K18" si="30">A7</f>
        <v>1250</v>
      </c>
      <c r="C17">
        <f t="shared" si="30"/>
        <v>0</v>
      </c>
      <c r="D17">
        <f t="shared" si="30"/>
        <v>0</v>
      </c>
      <c r="E17">
        <f t="shared" si="30"/>
        <v>0</v>
      </c>
      <c r="F17">
        <f t="shared" si="30"/>
        <v>0</v>
      </c>
      <c r="G17">
        <f t="shared" si="30"/>
        <v>0</v>
      </c>
      <c r="H17">
        <f t="shared" si="30"/>
        <v>0</v>
      </c>
      <c r="I17">
        <f t="shared" si="30"/>
        <v>5</v>
      </c>
      <c r="J17">
        <f t="shared" si="30"/>
        <v>3</v>
      </c>
      <c r="K17">
        <f t="shared" si="30"/>
        <v>8</v>
      </c>
      <c r="L17">
        <f t="shared" si="22"/>
        <v>10000</v>
      </c>
      <c r="M17">
        <f t="shared" si="23"/>
        <v>11.8</v>
      </c>
      <c r="N17">
        <f t="shared" si="24"/>
        <v>12500000</v>
      </c>
      <c r="O17">
        <f t="shared" si="25"/>
        <v>14750</v>
      </c>
    </row>
    <row r="18" spans="1:15" x14ac:dyDescent="0.3">
      <c r="A18">
        <v>7</v>
      </c>
      <c r="B18" t="s">
        <v>5</v>
      </c>
      <c r="C18">
        <f t="shared" si="30"/>
        <v>3</v>
      </c>
      <c r="D18">
        <f t="shared" si="30"/>
        <v>10</v>
      </c>
      <c r="E18">
        <f t="shared" si="30"/>
        <v>7</v>
      </c>
      <c r="F18">
        <f t="shared" si="30"/>
        <v>19</v>
      </c>
      <c r="G18">
        <f t="shared" si="30"/>
        <v>27</v>
      </c>
      <c r="H18">
        <f t="shared" si="30"/>
        <v>22</v>
      </c>
      <c r="I18">
        <f t="shared" si="30"/>
        <v>9</v>
      </c>
      <c r="J18">
        <f t="shared" si="30"/>
        <v>3</v>
      </c>
      <c r="K18">
        <f t="shared" si="30"/>
        <v>100</v>
      </c>
      <c r="L18">
        <f>SUM(L12:L17)</f>
        <v>72200</v>
      </c>
      <c r="M18">
        <f>SUM(M12:M17)</f>
        <v>94.8</v>
      </c>
      <c r="N18">
        <f>SUM(N12:N17)</f>
        <v>60410000</v>
      </c>
      <c r="O18">
        <f>SUM(O12:O17)</f>
        <v>76220</v>
      </c>
    </row>
    <row r="19" spans="1:15" ht="22.2" customHeight="1" x14ac:dyDescent="0.3">
      <c r="A19">
        <v>8</v>
      </c>
      <c r="C19">
        <f>C18*C11</f>
        <v>0.60000000000000009</v>
      </c>
      <c r="D19">
        <f t="shared" ref="D19:J19" si="31">D18*D11</f>
        <v>4</v>
      </c>
      <c r="E19">
        <f t="shared" si="31"/>
        <v>4.2</v>
      </c>
      <c r="F19">
        <f t="shared" si="31"/>
        <v>15.200000000000001</v>
      </c>
      <c r="G19">
        <f t="shared" si="31"/>
        <v>27</v>
      </c>
      <c r="H19">
        <f t="shared" si="31"/>
        <v>26.4</v>
      </c>
      <c r="I19">
        <f t="shared" si="31"/>
        <v>12.6</v>
      </c>
      <c r="J19">
        <f t="shared" si="31"/>
        <v>4.8000000000000007</v>
      </c>
      <c r="K19">
        <f>SUM(C19:J19)</f>
        <v>94.8</v>
      </c>
      <c r="L19" t="s">
        <v>6</v>
      </c>
      <c r="M19" t="s">
        <v>6</v>
      </c>
      <c r="N19" t="s">
        <v>6</v>
      </c>
      <c r="O19" t="s">
        <v>6</v>
      </c>
    </row>
    <row r="20" spans="1:15" ht="40.200000000000003" customHeight="1" x14ac:dyDescent="0.3">
      <c r="A20">
        <v>9</v>
      </c>
      <c r="C20">
        <f>SUMPRODUCT(C12:C17,$B$12:$B$17)</f>
        <v>750</v>
      </c>
      <c r="D20">
        <f>SUMPRODUCT(D12:D17,$B$12:$B$17)</f>
        <v>3700</v>
      </c>
      <c r="E20">
        <f t="shared" ref="D20:I20" si="32">SUMPRODUCT(E12:E17,$B$12:$B$17)</f>
        <v>2150</v>
      </c>
      <c r="F20">
        <f t="shared" si="32"/>
        <v>11950</v>
      </c>
      <c r="G20">
        <f t="shared" si="32"/>
        <v>21150</v>
      </c>
      <c r="H20">
        <f t="shared" si="32"/>
        <v>18300</v>
      </c>
      <c r="I20">
        <f t="shared" si="32"/>
        <v>10450</v>
      </c>
      <c r="J20">
        <f>SUMPRODUCT(J12:J17,$B$12:$B$17)</f>
        <v>3750</v>
      </c>
      <c r="K20">
        <f>SUM(C20:J20)</f>
        <v>72200</v>
      </c>
      <c r="L20" t="s">
        <v>6</v>
      </c>
      <c r="M20" t="s">
        <v>6</v>
      </c>
      <c r="N20" t="s">
        <v>6</v>
      </c>
      <c r="O20" t="s">
        <v>6</v>
      </c>
    </row>
    <row r="21" spans="1:15" ht="29.4" customHeight="1" x14ac:dyDescent="0.3">
      <c r="A21">
        <v>10</v>
      </c>
      <c r="C21">
        <f>C11*C11*C18</f>
        <v>0.12000000000000002</v>
      </c>
      <c r="D21">
        <f t="shared" ref="D21:J21" si="33">D11*D11*D18</f>
        <v>1.6000000000000003</v>
      </c>
      <c r="E21">
        <f t="shared" si="33"/>
        <v>2.52</v>
      </c>
      <c r="F21">
        <f t="shared" si="33"/>
        <v>12.160000000000002</v>
      </c>
      <c r="G21">
        <f t="shared" si="33"/>
        <v>27</v>
      </c>
      <c r="H21">
        <f t="shared" si="33"/>
        <v>31.68</v>
      </c>
      <c r="I21">
        <f t="shared" si="33"/>
        <v>17.639999999999997</v>
      </c>
      <c r="J21">
        <f t="shared" si="33"/>
        <v>7.6800000000000015</v>
      </c>
      <c r="K21">
        <f>SUM(C21:J21)</f>
        <v>100.40000000000002</v>
      </c>
      <c r="L21" t="s">
        <v>6</v>
      </c>
      <c r="M21" t="s">
        <v>6</v>
      </c>
      <c r="N21" t="s">
        <v>6</v>
      </c>
      <c r="O21" t="s">
        <v>6</v>
      </c>
    </row>
    <row r="22" spans="1:15" ht="44.4" customHeight="1" x14ac:dyDescent="0.3">
      <c r="A22">
        <v>11</v>
      </c>
      <c r="C22">
        <f>C11*C20</f>
        <v>150</v>
      </c>
      <c r="D22">
        <f t="shared" ref="D22:J22" si="34">D11*D20</f>
        <v>1480</v>
      </c>
      <c r="E22">
        <f t="shared" si="34"/>
        <v>1290</v>
      </c>
      <c r="F22">
        <f t="shared" si="34"/>
        <v>9560</v>
      </c>
      <c r="G22">
        <f t="shared" si="34"/>
        <v>21150</v>
      </c>
      <c r="H22">
        <f t="shared" si="34"/>
        <v>21960</v>
      </c>
      <c r="I22">
        <f t="shared" si="34"/>
        <v>14629.999999999998</v>
      </c>
      <c r="J22">
        <f>J11*J20</f>
        <v>6000</v>
      </c>
      <c r="K22">
        <f>SUM(C22:J22)</f>
        <v>76220</v>
      </c>
      <c r="L22" t="s">
        <v>6</v>
      </c>
      <c r="M22" t="s">
        <v>6</v>
      </c>
      <c r="N22" t="s">
        <v>6</v>
      </c>
      <c r="O22" t="s">
        <v>6</v>
      </c>
    </row>
    <row r="25" spans="1:15" x14ac:dyDescent="0.3">
      <c r="A25" t="s">
        <v>7</v>
      </c>
      <c r="E25" t="s">
        <v>10</v>
      </c>
      <c r="I25" t="s">
        <v>13</v>
      </c>
    </row>
    <row r="26" spans="1:15" x14ac:dyDescent="0.3">
      <c r="E26" t="s">
        <v>11</v>
      </c>
      <c r="F26">
        <f>1/99 *(N18 - 1/100*K20 *K20)</f>
        <v>83652.525252525258</v>
      </c>
      <c r="I26" t="s">
        <v>14</v>
      </c>
      <c r="J26">
        <f>1/99 *(O18-1/100*M18*K20)</f>
        <v>78.529292929293021</v>
      </c>
      <c r="L26" t="s">
        <v>17</v>
      </c>
      <c r="M26">
        <f>J26/(F28*F29)</f>
        <v>0.83253752929238745</v>
      </c>
    </row>
    <row r="27" spans="1:15" x14ac:dyDescent="0.3">
      <c r="A27" t="s">
        <v>8</v>
      </c>
      <c r="B27">
        <f>K20/100</f>
        <v>722</v>
      </c>
      <c r="E27" t="s">
        <v>12</v>
      </c>
      <c r="F27">
        <f>1/99 *(K21-1/100*M18*M18)</f>
        <v>0.10635959595959628</v>
      </c>
    </row>
    <row r="28" spans="1:15" x14ac:dyDescent="0.3">
      <c r="A28" t="s">
        <v>9</v>
      </c>
      <c r="B28">
        <f>M18/100</f>
        <v>0.94799999999999995</v>
      </c>
      <c r="E28" t="s">
        <v>15</v>
      </c>
      <c r="F28">
        <f>SQRT(F26)</f>
        <v>289.22746282558518</v>
      </c>
    </row>
    <row r="29" spans="1:15" x14ac:dyDescent="0.3">
      <c r="E29" t="s">
        <v>16</v>
      </c>
      <c r="F29">
        <f>SQRT(F27)</f>
        <v>0.32612818945867939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Марьин Григорий Алексеевич</dc:creator>
  <cp:lastModifiedBy>Марьин Григорий Алексеевич</cp:lastModifiedBy>
  <dcterms:created xsi:type="dcterms:W3CDTF">2025-11-23T15:24:26Z</dcterms:created>
  <dcterms:modified xsi:type="dcterms:W3CDTF">2025-11-25T07:26:21Z</dcterms:modified>
</cp:coreProperties>
</file>